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de8a95b68f68c7/Documents/"/>
    </mc:Choice>
  </mc:AlternateContent>
  <xr:revisionPtr revIDLastSave="191" documentId="8_{F62A667A-BB35-4BBE-AFC4-8CAEC24448A6}" xr6:coauthVersionLast="47" xr6:coauthVersionMax="47" xr10:uidLastSave="{873A539A-0479-46DA-962F-FA29C897298B}"/>
  <bookViews>
    <workbookView xWindow="-108" yWindow="-108" windowWidth="23256" windowHeight="12456" xr2:uid="{3DABC1F8-3F72-4770-88CD-558EE1E86C4A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definedNames>
    <definedName name="_xlnm._FilterDatabase" localSheetId="0" hidden="1">'Q1'!$A$1:$B$6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8" l="1"/>
  <c r="D5" i="7"/>
  <c r="D5" i="6"/>
  <c r="D3" i="6"/>
  <c r="D4" i="6"/>
  <c r="D2" i="6"/>
  <c r="E8" i="5"/>
  <c r="E6" i="4"/>
  <c r="E7" i="3" a="1"/>
  <c r="E7" i="3" s="1"/>
  <c r="E3" i="3" a="1"/>
  <c r="E3" i="3" s="1"/>
  <c r="E4" i="3" a="1"/>
  <c r="E4" i="3" s="1"/>
  <c r="E5" i="3" a="1"/>
  <c r="E5" i="3" s="1"/>
  <c r="E6" i="3" a="1"/>
  <c r="E6" i="3" s="1"/>
  <c r="E2" i="3" a="1"/>
  <c r="E2" i="3" s="1"/>
  <c r="E3" i="2"/>
  <c r="E4" i="2"/>
  <c r="E5" i="2"/>
  <c r="E2" i="2"/>
  <c r="D3" i="1" l="1"/>
  <c r="D4" i="1"/>
  <c r="D5" i="1"/>
  <c r="D6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<sst xmlns="http://schemas.openxmlformats.org/spreadsheetml/2006/main" count="70" uniqueCount="61">
  <si>
    <t>STUDENT NAME</t>
  </si>
  <si>
    <t>MARKS</t>
  </si>
  <si>
    <t>RIYA</t>
  </si>
  <si>
    <t>SIYA</t>
  </si>
  <si>
    <t>RAJU</t>
  </si>
  <si>
    <t>RAHUL</t>
  </si>
  <si>
    <t>RAM</t>
  </si>
  <si>
    <t>Greater than or equal to 40.</t>
  </si>
  <si>
    <t>Employee</t>
  </si>
  <si>
    <t>Sales</t>
  </si>
  <si>
    <t>Attendance</t>
  </si>
  <si>
    <t>ARJUN</t>
  </si>
  <si>
    <t xml:space="preserve"> SIMRAN</t>
  </si>
  <si>
    <t xml:space="preserve">ROHIT </t>
  </si>
  <si>
    <t>ANJALI</t>
  </si>
  <si>
    <t>BONUS/NO BONUS</t>
  </si>
  <si>
    <t>Student Name</t>
  </si>
  <si>
    <t>RAJ</t>
  </si>
  <si>
    <t>NEHA</t>
  </si>
  <si>
    <t>VIVEK</t>
  </si>
  <si>
    <t>RANI</t>
  </si>
  <si>
    <t>SNEHA</t>
  </si>
  <si>
    <t>HARSH</t>
  </si>
  <si>
    <t>A,B,C,FAIL</t>
  </si>
  <si>
    <t>EMPLOYEE ID</t>
  </si>
  <si>
    <t xml:space="preserve">NAME 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</si>
  <si>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</si>
  <si>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</si>
  <si>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</si>
  <si>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</si>
  <si>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</si>
  <si>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</si>
  <si>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</si>
  <si>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</si>
  <si>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 xml:space="preserve">HR </t>
  </si>
  <si>
    <t>FINANCE</t>
  </si>
  <si>
    <t>SALES</t>
  </si>
  <si>
    <t>WHY? VLOOKUP.</t>
  </si>
  <si>
    <r>
      <rPr>
        <b/>
        <sz val="11"/>
        <color theme="1"/>
        <rFont val="Calibri"/>
        <family val="2"/>
        <scheme val="minor"/>
      </rPr>
      <t>ANS.</t>
    </r>
    <r>
      <rPr>
        <sz val="11"/>
        <color theme="1"/>
        <rFont val="Calibri"/>
        <family val="2"/>
        <scheme val="minor"/>
      </rPr>
      <t>DATA IS MENTION IN VERTICAL FORM.</t>
    </r>
  </si>
  <si>
    <t>Sales Amount</t>
  </si>
  <si>
    <t>Commission Rate</t>
  </si>
  <si>
    <t>EMPLOYEE NAME</t>
  </si>
  <si>
    <t>LEAVES TAKEN</t>
  </si>
  <si>
    <t>LEAVES ALLOWED</t>
  </si>
  <si>
    <t>ALEX</t>
  </si>
  <si>
    <t xml:space="preserve">BOB </t>
  </si>
  <si>
    <t>ANNA</t>
  </si>
  <si>
    <t>ACCEPTED OR UNACCEPTED</t>
  </si>
  <si>
    <t>LAKSHAY</t>
  </si>
  <si>
    <t>EmpID</t>
  </si>
  <si>
    <t>Salary</t>
  </si>
  <si>
    <t>E105</t>
  </si>
  <si>
    <t>E106</t>
  </si>
  <si>
    <t>INDEX-MATCH</t>
  </si>
  <si>
    <t>e101</t>
  </si>
  <si>
    <t>e303</t>
  </si>
  <si>
    <t>e106</t>
  </si>
  <si>
    <t>e301</t>
  </si>
  <si>
    <t>department</t>
  </si>
  <si>
    <t>HR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</si>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</sst>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4999542222357858"/>
        <bgColor theme="1" tint="0.44999542222357858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/>
        <bgColor theme="1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6" borderId="1" xfId="0" applyFont="1" applyFill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/>
    </xf>
    <xf numFmtId="9" fontId="4" fillId="5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5" fillId="6" borderId="1" xfId="0" applyFont="1" applyFill="1" applyBorder="1"/>
    <xf numFmtId="0" fontId="6" fillId="8" borderId="1" xfId="0" applyFont="1" applyFill="1" applyBorder="1" applyAlignment="1">
      <alignment horizontal="center"/>
    </xf>
    <xf numFmtId="0" fontId="0" fillId="9" borderId="1" xfId="0" applyFill="1" applyBorder="1"/>
    <xf numFmtId="0" fontId="7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2" fillId="11" borderId="7" xfId="0" applyFont="1" applyFill="1" applyBorder="1" applyAlignment="1">
      <alignment horizontal="center"/>
    </xf>
    <xf numFmtId="9" fontId="2" fillId="11" borderId="8" xfId="1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9" fontId="2" fillId="10" borderId="8" xfId="1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9" fontId="2" fillId="10" borderId="1" xfId="1" applyFont="1" applyFill="1" applyBorder="1" applyAlignment="1">
      <alignment horizontal="center"/>
    </xf>
    <xf numFmtId="9" fontId="7" fillId="7" borderId="1" xfId="0" applyNumberFormat="1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3" fillId="15" borderId="1" xfId="0" applyFont="1" applyFill="1" applyBorder="1"/>
  </cellXfs>
  <cellStyles count="2">
    <cellStyle name="Normal" xfId="0" builtinId="0"/>
    <cellStyle name="Percent" xfId="1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4CE94-7DE0-4994-A4FD-76BFFF09A62C}" name="Table1" displayName="Table1" ref="A1:B6" totalsRowShown="0" headerRowDxfId="6" dataDxfId="4" headerRowBorderDxfId="5" tableBorderDxfId="3" totalsRowBorderDxfId="2">
  <autoFilter ref="A1:B6" xr:uid="{6702997E-5426-409E-A9AF-BC4C476220D1}"/>
  <tableColumns count="2">
    <tableColumn id="1" xr3:uid="{AD1CD93D-2997-46A2-8566-0FF632C04576}" name="STUDENT NAME" dataDxfId="1"/>
    <tableColumn id="2" xr3:uid="{B2F679EF-9DC1-42EF-908F-9A0771A17D79}" name="MARKS" dataDxfId="0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997E-5426-409E-A9AF-BC4C476220D1}">
  <dimension ref="A1:D6"/>
  <sheetViews>
    <sheetView tabSelected="1" zoomScale="119" workbookViewId="0">
      <selection activeCell="D15" sqref="D15"/>
    </sheetView>
  </sheetViews>
  <sheetFormatPr defaultRowHeight="14.4" x14ac:dyDescent="0.3"/>
  <cols>
    <col min="1" max="1" width="19.21875" bestFit="1" customWidth="1"/>
    <col min="2" max="2" width="11.6640625" bestFit="1" customWidth="1"/>
    <col min="4" max="4" width="24.109375" bestFit="1" customWidth="1"/>
  </cols>
  <sheetData>
    <row r="1" spans="1:4" x14ac:dyDescent="0.3">
      <c r="A1" s="3" t="s">
        <v>0</v>
      </c>
      <c r="B1" s="4" t="s">
        <v>1</v>
      </c>
      <c r="D1" t="s">
        <v>7</v>
      </c>
    </row>
    <row r="2" spans="1:4" x14ac:dyDescent="0.3">
      <c r="A2" s="5" t="s">
        <v>2</v>
      </c>
      <c r="B2" s="6">
        <v>45</v>
      </c>
      <c r="D2" s="2" t="str">
        <f>IF(B2&gt;=40,"PASS","FAIL")</f>
        <v>PASS</v>
      </c>
    </row>
    <row r="3" spans="1:4" x14ac:dyDescent="0.3">
      <c r="A3" s="5" t="s">
        <v>3</v>
      </c>
      <c r="B3" s="6">
        <v>72</v>
      </c>
      <c r="D3" s="2" t="str">
        <f t="shared" ref="D3:D6" si="0">IF(B3&gt;=40,"PASS","FAIL")</f>
        <v>PASS</v>
      </c>
    </row>
    <row r="4" spans="1:4" x14ac:dyDescent="0.3">
      <c r="A4" s="5" t="s">
        <v>4</v>
      </c>
      <c r="B4" s="6">
        <v>55</v>
      </c>
      <c r="D4" s="2" t="str">
        <f t="shared" si="0"/>
        <v>PASS</v>
      </c>
    </row>
    <row r="5" spans="1:4" x14ac:dyDescent="0.3">
      <c r="A5" s="5" t="s">
        <v>5</v>
      </c>
      <c r="B5" s="6">
        <v>80</v>
      </c>
      <c r="D5" s="2" t="str">
        <f t="shared" si="0"/>
        <v>PASS</v>
      </c>
    </row>
    <row r="6" spans="1:4" x14ac:dyDescent="0.3">
      <c r="A6" s="7" t="s">
        <v>6</v>
      </c>
      <c r="B6" s="8">
        <v>30</v>
      </c>
      <c r="D6" s="2" t="str">
        <f t="shared" si="0"/>
        <v>FAIL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2F30-AFC2-4BB4-943E-9922D438808D}">
  <dimension ref="A1:E5"/>
  <sheetViews>
    <sheetView workbookViewId="0">
      <selection activeCell="G3" sqref="G3"/>
    </sheetView>
  </sheetViews>
  <sheetFormatPr defaultRowHeight="14.4" x14ac:dyDescent="0.3"/>
  <cols>
    <col min="1" max="1" width="13.77734375" bestFit="1" customWidth="1"/>
    <col min="2" max="2" width="13.109375" customWidth="1"/>
    <col min="3" max="3" width="15.5546875" bestFit="1" customWidth="1"/>
    <col min="4" max="5" width="17.44140625" bestFit="1" customWidth="1"/>
  </cols>
  <sheetData>
    <row r="1" spans="1:5" ht="21" x14ac:dyDescent="0.4">
      <c r="A1" s="10" t="s">
        <v>8</v>
      </c>
      <c r="B1" s="11" t="s">
        <v>9</v>
      </c>
      <c r="C1" s="14" t="s">
        <v>10</v>
      </c>
      <c r="E1" s="13" t="s">
        <v>15</v>
      </c>
    </row>
    <row r="2" spans="1:5" ht="21" x14ac:dyDescent="0.4">
      <c r="A2" s="12" t="s">
        <v>11</v>
      </c>
      <c r="B2" s="12">
        <v>55000</v>
      </c>
      <c r="C2" s="15">
        <v>0.95</v>
      </c>
      <c r="E2" s="16" t="str">
        <f>IF(AND(B2&gt;40000,C2&gt;90%),"BONUS","NO BONUS")</f>
        <v>BONUS</v>
      </c>
    </row>
    <row r="3" spans="1:5" ht="21" x14ac:dyDescent="0.4">
      <c r="A3" s="12" t="s">
        <v>12</v>
      </c>
      <c r="B3" s="12">
        <v>65000</v>
      </c>
      <c r="C3" s="15">
        <v>0.85</v>
      </c>
      <c r="E3" s="16" t="str">
        <f>IF(AND(B3&gt;40000,C3&gt;90%),"BONUS","NO BONUS")</f>
        <v>NO BONUS</v>
      </c>
    </row>
    <row r="4" spans="1:5" ht="21" x14ac:dyDescent="0.4">
      <c r="A4" s="12" t="s">
        <v>13</v>
      </c>
      <c r="B4" s="12">
        <v>30000</v>
      </c>
      <c r="C4" s="15">
        <v>0.9</v>
      </c>
      <c r="E4" s="16" t="str">
        <f>IF(AND(B4&gt;40000,C4&gt;90%),"BONUS","NO BONUS")</f>
        <v>NO BONUS</v>
      </c>
    </row>
    <row r="5" spans="1:5" ht="21" x14ac:dyDescent="0.4">
      <c r="A5" s="12" t="s">
        <v>14</v>
      </c>
      <c r="B5" s="12">
        <v>25000</v>
      </c>
      <c r="C5" s="15">
        <v>0.65</v>
      </c>
      <c r="E5" s="16" t="str">
        <f>IF(AND(B5&gt;40000,C5&gt;90%),"BONUS","NO BONUS")</f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AC74-2AE8-47BE-A060-D56BB5325F0F}">
  <dimension ref="A1:E7"/>
  <sheetViews>
    <sheetView workbookViewId="0">
      <selection activeCell="E1" sqref="E1"/>
    </sheetView>
  </sheetViews>
  <sheetFormatPr defaultRowHeight="14.4" x14ac:dyDescent="0.3"/>
  <cols>
    <col min="1" max="1" width="13.21875" bestFit="1" customWidth="1"/>
    <col min="5" max="5" width="9.109375" bestFit="1" customWidth="1"/>
  </cols>
  <sheetData>
    <row r="1" spans="1:5" x14ac:dyDescent="0.3">
      <c r="A1" s="17" t="s">
        <v>16</v>
      </c>
      <c r="B1" s="17" t="s">
        <v>1</v>
      </c>
      <c r="E1" s="19" t="s">
        <v>23</v>
      </c>
    </row>
    <row r="2" spans="1:5" x14ac:dyDescent="0.3">
      <c r="A2" s="1" t="s">
        <v>17</v>
      </c>
      <c r="B2" s="1">
        <v>85</v>
      </c>
      <c r="E2" s="18" t="str" cm="1">
        <f t="array" ref="E2">_xlfn.IFS(B2&gt;=90,"A",B2&gt;=75,"B",B2&gt;=50,"C",TRUE,"FAIL")</f>
        <v>B</v>
      </c>
    </row>
    <row r="3" spans="1:5" x14ac:dyDescent="0.3">
      <c r="A3" s="1" t="s">
        <v>18</v>
      </c>
      <c r="B3" s="1">
        <v>96</v>
      </c>
      <c r="E3" s="18" t="str" cm="1">
        <f t="array" ref="E3">_xlfn.IFS(B3&gt;=90,"A",B3&gt;=75,"B",B3&gt;=50,"C",TRUE,"FAIL")</f>
        <v>A</v>
      </c>
    </row>
    <row r="4" spans="1:5" x14ac:dyDescent="0.3">
      <c r="A4" s="1" t="s">
        <v>19</v>
      </c>
      <c r="B4" s="1">
        <v>57</v>
      </c>
      <c r="E4" s="18" t="str" cm="1">
        <f t="array" ref="E4">_xlfn.IFS(B4&gt;=90,"A",B4&gt;=75,"B",B4&gt;=50,"C",TRUE,"FAIL")</f>
        <v>C</v>
      </c>
    </row>
    <row r="5" spans="1:5" x14ac:dyDescent="0.3">
      <c r="A5" s="1" t="s">
        <v>20</v>
      </c>
      <c r="B5" s="1">
        <v>92</v>
      </c>
      <c r="E5" s="18" t="str" cm="1">
        <f t="array" ref="E5">_xlfn.IFS(B5&gt;=90,"A",B5&gt;=75,"B",B5&gt;=50,"C",TRUE,"FAIL")</f>
        <v>A</v>
      </c>
    </row>
    <row r="6" spans="1:5" x14ac:dyDescent="0.3">
      <c r="A6" s="1" t="s">
        <v>21</v>
      </c>
      <c r="B6" s="1">
        <v>75</v>
      </c>
      <c r="E6" s="18" t="str" cm="1">
        <f t="array" ref="E6">_xlfn.IFS(B6&gt;=90,"A",B6&gt;=75,"B",B6&gt;=50,"C",TRUE,"FAIL")</f>
        <v>B</v>
      </c>
    </row>
    <row r="7" spans="1:5" x14ac:dyDescent="0.3">
      <c r="A7" s="1" t="s">
        <v>22</v>
      </c>
      <c r="B7" s="1">
        <v>40</v>
      </c>
      <c r="E7" s="18" t="str" cm="1">
        <f t="array" ref="E7">_xlfn.IFS(B7&gt;=90,"A",B7&gt;=75,"B",B7&gt;=50,"C",TRUE,"FAIL")</f>
        <v>FAIL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1067-1657-4EC5-BDB2-96E26ACB44D2}">
  <dimension ref="A4:E10"/>
  <sheetViews>
    <sheetView topLeftCell="A4" workbookViewId="0">
      <selection activeCell="E7" sqref="E7"/>
    </sheetView>
  </sheetViews>
  <sheetFormatPr defaultRowHeight="14.4" x14ac:dyDescent="0.3"/>
  <cols>
    <col min="1" max="1" width="12.33203125" bestFit="1" customWidth="1"/>
    <col min="2" max="2" width="7.44140625" bestFit="1" customWidth="1"/>
    <col min="3" max="3" width="12.44140625" bestFit="1" customWidth="1"/>
    <col min="5" max="5" width="37.21875" bestFit="1" customWidth="1"/>
  </cols>
  <sheetData>
    <row r="4" spans="1:5" x14ac:dyDescent="0.3">
      <c r="A4" s="9" t="s">
        <v>24</v>
      </c>
      <c r="B4" s="9" t="s">
        <v>25</v>
      </c>
      <c r="C4" s="9" t="s">
        <v>26</v>
      </c>
    </row>
    <row r="5" spans="1:5" ht="19.8" x14ac:dyDescent="0.4">
      <c r="A5" s="20" t="s">
        <v>27</v>
      </c>
      <c r="B5" s="18" t="s">
        <v>4</v>
      </c>
      <c r="C5" s="18" t="s">
        <v>33</v>
      </c>
    </row>
    <row r="6" spans="1:5" ht="28.8" x14ac:dyDescent="0.55000000000000004">
      <c r="A6" s="20" t="s">
        <v>28</v>
      </c>
      <c r="B6" s="18" t="s">
        <v>2</v>
      </c>
      <c r="C6" s="18" t="s">
        <v>34</v>
      </c>
      <c r="E6" s="22" t="str">
        <f>VLOOKUP(A7,A4:C8,1,FALSE)</f>
        <v>E103</v>
      </c>
    </row>
    <row r="7" spans="1:5" ht="19.8" x14ac:dyDescent="0.4">
      <c r="A7" s="20" t="s">
        <v>29</v>
      </c>
      <c r="B7" s="18" t="s">
        <v>31</v>
      </c>
      <c r="C7" s="18" t="s">
        <v>35</v>
      </c>
    </row>
    <row r="8" spans="1:5" ht="19.8" x14ac:dyDescent="0.4">
      <c r="A8" s="20" t="s">
        <v>30</v>
      </c>
      <c r="B8" s="18" t="s">
        <v>32</v>
      </c>
      <c r="C8" s="18" t="s">
        <v>36</v>
      </c>
    </row>
    <row r="9" spans="1:5" x14ac:dyDescent="0.3">
      <c r="E9" s="9" t="s">
        <v>37</v>
      </c>
    </row>
    <row r="10" spans="1:5" x14ac:dyDescent="0.3">
      <c r="E10" s="2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2FA0-0615-4F98-90A0-962CD275326B}">
  <dimension ref="B2:E8"/>
  <sheetViews>
    <sheetView workbookViewId="0">
      <selection activeCell="F4" sqref="F4"/>
    </sheetView>
  </sheetViews>
  <sheetFormatPr defaultRowHeight="14.4" x14ac:dyDescent="0.3"/>
  <cols>
    <col min="2" max="2" width="14.44140625" customWidth="1"/>
    <col min="3" max="3" width="17.33203125" customWidth="1"/>
  </cols>
  <sheetData>
    <row r="2" spans="2:5" x14ac:dyDescent="0.3">
      <c r="B2" s="33" t="s">
        <v>39</v>
      </c>
      <c r="C2" s="32" t="s">
        <v>40</v>
      </c>
    </row>
    <row r="3" spans="2:5" x14ac:dyDescent="0.3">
      <c r="B3" s="25">
        <v>0</v>
      </c>
      <c r="C3" s="26">
        <v>0.05</v>
      </c>
    </row>
    <row r="4" spans="2:5" ht="15.6" x14ac:dyDescent="0.3">
      <c r="B4" s="27">
        <v>20000</v>
      </c>
      <c r="C4" s="28">
        <v>0.1</v>
      </c>
      <c r="E4" s="24">
        <v>45000</v>
      </c>
    </row>
    <row r="5" spans="2:5" x14ac:dyDescent="0.3">
      <c r="B5" s="25">
        <v>50000</v>
      </c>
      <c r="C5" s="26">
        <v>0.15</v>
      </c>
    </row>
    <row r="6" spans="2:5" x14ac:dyDescent="0.3">
      <c r="B6" s="29">
        <v>80000</v>
      </c>
      <c r="C6" s="30">
        <v>0.2</v>
      </c>
    </row>
    <row r="8" spans="2:5" ht="28.8" x14ac:dyDescent="0.55000000000000004">
      <c r="E8" s="31">
        <f>VLOOKUP(E4,B2:C6,2,TRUE)</f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96BB-5F0F-47F7-BB11-EE53D196E801}">
  <dimension ref="A1:D5"/>
  <sheetViews>
    <sheetView workbookViewId="0">
      <selection activeCell="D2" sqref="D2"/>
    </sheetView>
  </sheetViews>
  <sheetFormatPr defaultRowHeight="14.4" x14ac:dyDescent="0.3"/>
  <cols>
    <col min="1" max="1" width="16" bestFit="1" customWidth="1"/>
    <col min="2" max="2" width="13.5546875" bestFit="1" customWidth="1"/>
    <col min="3" max="3" width="16.21875" bestFit="1" customWidth="1"/>
    <col min="4" max="4" width="24.88671875" bestFit="1" customWidth="1"/>
  </cols>
  <sheetData>
    <row r="1" spans="1:4" x14ac:dyDescent="0.3">
      <c r="A1" s="34" t="s">
        <v>41</v>
      </c>
      <c r="B1" s="34" t="s">
        <v>42</v>
      </c>
      <c r="C1" s="34" t="s">
        <v>43</v>
      </c>
      <c r="D1" s="35" t="s">
        <v>47</v>
      </c>
    </row>
    <row r="2" spans="1:4" x14ac:dyDescent="0.3">
      <c r="A2" s="38" t="s">
        <v>44</v>
      </c>
      <c r="B2" s="39">
        <v>10</v>
      </c>
      <c r="C2" s="39">
        <v>12</v>
      </c>
      <c r="D2" s="18" t="str">
        <f>IF(B2&gt;C2,"EXCEEDED","OK")</f>
        <v>OK</v>
      </c>
    </row>
    <row r="3" spans="1:4" x14ac:dyDescent="0.3">
      <c r="A3" s="38" t="s">
        <v>45</v>
      </c>
      <c r="B3" s="39">
        <v>10</v>
      </c>
      <c r="C3" s="39">
        <v>15</v>
      </c>
      <c r="D3" s="18" t="str">
        <f t="shared" ref="D3:D5" si="0">IF(B3&gt;C3,"EXCEEDED","OK")</f>
        <v>OK</v>
      </c>
    </row>
    <row r="4" spans="1:4" x14ac:dyDescent="0.3">
      <c r="A4" s="38" t="s">
        <v>46</v>
      </c>
      <c r="B4" s="39">
        <v>8</v>
      </c>
      <c r="C4" s="39">
        <v>12</v>
      </c>
      <c r="D4" s="18" t="str">
        <f t="shared" si="0"/>
        <v>OK</v>
      </c>
    </row>
    <row r="5" spans="1:4" x14ac:dyDescent="0.3">
      <c r="A5" s="36" t="s">
        <v>48</v>
      </c>
      <c r="B5" s="37">
        <v>10</v>
      </c>
      <c r="C5" s="37">
        <v>8</v>
      </c>
      <c r="D5" s="23" t="str">
        <f t="shared" si="0"/>
        <v>EXCEEDED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D62A-FEC6-4C7C-996C-8BA10AA2C2ED}">
  <dimension ref="A1:D5"/>
  <sheetViews>
    <sheetView workbookViewId="0">
      <selection activeCell="F4" sqref="F4"/>
    </sheetView>
  </sheetViews>
  <sheetFormatPr defaultRowHeight="14.4" x14ac:dyDescent="0.3"/>
  <cols>
    <col min="4" max="4" width="14.5546875" bestFit="1" customWidth="1"/>
  </cols>
  <sheetData>
    <row r="1" spans="1:4" ht="18" x14ac:dyDescent="0.35">
      <c r="A1" s="40" t="s">
        <v>49</v>
      </c>
      <c r="B1" s="40" t="s">
        <v>50</v>
      </c>
    </row>
    <row r="2" spans="1:4" ht="23.4" x14ac:dyDescent="0.45">
      <c r="A2" s="42" t="s">
        <v>30</v>
      </c>
      <c r="B2" s="41">
        <v>55000</v>
      </c>
    </row>
    <row r="3" spans="1:4" ht="23.4" x14ac:dyDescent="0.45">
      <c r="A3" s="42" t="s">
        <v>51</v>
      </c>
      <c r="B3" s="41">
        <v>72000</v>
      </c>
    </row>
    <row r="4" spans="1:4" ht="23.4" x14ac:dyDescent="0.45">
      <c r="A4" s="42" t="s">
        <v>52</v>
      </c>
      <c r="B4" s="41">
        <v>62000</v>
      </c>
      <c r="D4" s="44" t="s">
        <v>53</v>
      </c>
    </row>
    <row r="5" spans="1:4" ht="28.8" x14ac:dyDescent="0.45">
      <c r="A5" s="42" t="s">
        <v>28</v>
      </c>
      <c r="B5" s="41">
        <v>41000</v>
      </c>
      <c r="D5" s="43">
        <f>INDEX(B2:B5,MATCH(A3,A2:A5))</f>
        <v>72000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1D27-CEA6-485E-A552-DC31178C7A9B}">
  <dimension ref="A1:D6"/>
  <sheetViews>
    <sheetView workbookViewId="0">
      <selection activeCell="D6" sqref="D6"/>
    </sheetView>
  </sheetViews>
  <sheetFormatPr defaultRowHeight="14.4" x14ac:dyDescent="0.3"/>
  <cols>
    <col min="2" max="2" width="11" bestFit="1" customWidth="1"/>
  </cols>
  <sheetData>
    <row r="1" spans="1:4" x14ac:dyDescent="0.3">
      <c r="A1" s="34" t="s">
        <v>49</v>
      </c>
      <c r="B1" s="34" t="s">
        <v>58</v>
      </c>
    </row>
    <row r="2" spans="1:4" x14ac:dyDescent="0.3">
      <c r="A2" s="1" t="s">
        <v>54</v>
      </c>
      <c r="B2" s="1" t="s">
        <v>59</v>
      </c>
    </row>
    <row r="3" spans="1:4" x14ac:dyDescent="0.3">
      <c r="A3" s="1" t="s">
        <v>55</v>
      </c>
      <c r="B3" s="1" t="s">
        <v>33</v>
      </c>
    </row>
    <row r="4" spans="1:4" x14ac:dyDescent="0.3">
      <c r="A4" s="1" t="s">
        <v>56</v>
      </c>
      <c r="B4" s="1" t="s">
        <v>36</v>
      </c>
    </row>
    <row r="5" spans="1:4" x14ac:dyDescent="0.3">
      <c r="A5" s="1" t="s">
        <v>57</v>
      </c>
      <c r="B5" s="1" t="s">
        <v>35</v>
      </c>
      <c r="D5" s="46" t="s">
        <v>60</v>
      </c>
    </row>
    <row r="6" spans="1:4" ht="23.4" x14ac:dyDescent="0.45">
      <c r="D6" s="45" t="str">
        <f>_xlfn.XLOOKUP(A3,A2:A5,B2:B5)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maretha</dc:creator>
  <cp:lastModifiedBy>lakshay maretha</cp:lastModifiedBy>
  <dcterms:created xsi:type="dcterms:W3CDTF">2026-01-06T09:42:25Z</dcterms:created>
  <dcterms:modified xsi:type="dcterms:W3CDTF">2026-01-07T15:50:15Z</dcterms:modified>
</cp:coreProperties>
</file>